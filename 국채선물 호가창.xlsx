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ck\Documents\Codex\2026-10-02\referenced-chatgpt-conversation-this-is-an\outputs\ktb_rtd_monitor\"/>
    </mc:Choice>
  </mc:AlternateContent>
  <bookViews>
    <workbookView xWindow="0" yWindow="0" windowWidth="14700" windowHeight="11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G2" i="1"/>
  <c r="E8" i="1"/>
  <c r="L7" i="1"/>
  <c r="K4" i="1"/>
  <c r="L10" i="1"/>
  <c r="K12" i="1"/>
  <c r="N12" i="1"/>
  <c r="J6" i="1"/>
  <c r="B3" i="1"/>
  <c r="D3" i="1"/>
  <c r="D8" i="1"/>
  <c r="F8" i="1"/>
  <c r="K3" i="1"/>
  <c r="E12" i="1"/>
  <c r="L11" i="1"/>
  <c r="E7" i="1"/>
  <c r="E10" i="1"/>
  <c r="D5" i="1"/>
  <c r="M8" i="1"/>
  <c r="J2" i="1"/>
  <c r="D2" i="1"/>
  <c r="F7" i="1"/>
  <c r="F10" i="1"/>
  <c r="M11" i="1"/>
  <c r="D11" i="1"/>
  <c r="K6" i="1"/>
  <c r="F9" i="1"/>
  <c r="L9" i="1"/>
  <c r="E11" i="1"/>
  <c r="L4" i="1"/>
  <c r="L6" i="1"/>
  <c r="D10" i="1"/>
  <c r="D7" i="1"/>
  <c r="D6" i="1"/>
  <c r="J12" i="1"/>
  <c r="C4" i="1"/>
  <c r="M9" i="1"/>
  <c r="B2" i="1"/>
  <c r="E9" i="1"/>
  <c r="N8" i="1"/>
  <c r="F12" i="1"/>
  <c r="J3" i="1"/>
  <c r="N9" i="1"/>
  <c r="M7" i="1"/>
  <c r="J5" i="1"/>
  <c r="D9" i="1"/>
  <c r="K2" i="1"/>
  <c r="C3" i="1"/>
  <c r="M10" i="1"/>
  <c r="L8" i="1"/>
  <c r="L3" i="1"/>
  <c r="B5" i="1"/>
  <c r="C12" i="1"/>
  <c r="L2" i="1"/>
  <c r="C5" i="1"/>
  <c r="B6" i="1"/>
  <c r="K5" i="1"/>
  <c r="M12" i="1"/>
  <c r="B12" i="1"/>
  <c r="B4" i="1"/>
  <c r="N10" i="1"/>
  <c r="N7" i="1"/>
  <c r="F11" i="1"/>
  <c r="N11" i="1"/>
  <c r="C6" i="1"/>
  <c r="J4" i="1"/>
  <c r="D4" i="1"/>
  <c r="C2" i="1"/>
  <c r="L5" i="1"/>
</calcChain>
</file>

<file path=xl/sharedStrings.xml><?xml version="1.0" encoding="utf-8"?>
<sst xmlns="http://schemas.openxmlformats.org/spreadsheetml/2006/main" count="17" uniqueCount="10">
  <si>
    <t>매수
잔량</t>
    <phoneticPr fontId="1" type="noConversion"/>
  </si>
  <si>
    <t>매도
잔량</t>
    <phoneticPr fontId="1" type="noConversion"/>
  </si>
  <si>
    <t>매수잔량</t>
    <phoneticPr fontId="1" type="noConversion"/>
  </si>
  <si>
    <t>건수</t>
    <phoneticPr fontId="1" type="noConversion"/>
  </si>
  <si>
    <t>매도잔량</t>
    <phoneticPr fontId="1" type="noConversion"/>
  </si>
  <si>
    <t>건수</t>
    <phoneticPr fontId="1" type="noConversion"/>
  </si>
  <si>
    <t xml:space="preserve">3년 국채 선물 </t>
    <phoneticPr fontId="1" type="noConversion"/>
  </si>
  <si>
    <t xml:space="preserve">10년 국채 선물 </t>
    <phoneticPr fontId="1" type="noConversion"/>
  </si>
  <si>
    <t>ㅜ</t>
    <phoneticPr fontId="1" type="noConversion"/>
  </si>
  <si>
    <t>체결가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</si>
</sst>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2" fontId="0" fillId="2" borderId="1" xfId="0" applyNumberFormat="1" applyFill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checkexpert.rtd">
      <tp>
        <v>104.81</v>
        <stp/>
        <stp>15001</stp>
        <stp>KXFA020</stp>
        <tr r="O2" s="1"/>
      </tp>
      <tp>
        <v>102.63</v>
        <stp/>
        <stp>15001</stp>
        <stp>KBFA020</stp>
        <tr r="G2" s="1"/>
      </tp>
      <tp>
        <v>0</v>
        <stp/>
        <stp>14504</stp>
        <stp>KXFA020</stp>
        <tr r="L3" s="1"/>
      </tp>
      <tp>
        <v>0</v>
        <stp/>
        <stp>14505</stp>
        <stp>KXFA020</stp>
        <tr r="L2" s="1"/>
      </tp>
      <tp>
        <v>104.85</v>
        <stp/>
        <stp>14501</stp>
        <stp>KXFA020</stp>
        <tr r="L6" s="1"/>
      </tp>
      <tp>
        <v>104.86</v>
        <stp/>
        <stp>14502</stp>
        <stp>KXFA020</stp>
        <tr r="L5" s="1"/>
      </tp>
      <tp>
        <v>104.87</v>
        <stp/>
        <stp>14503</stp>
        <stp>KXFA020</stp>
        <tr r="L4" s="1"/>
      </tp>
      <tp>
        <v>0</v>
        <stp/>
        <stp>14514</stp>
        <stp>KXFA020</stp>
        <tr r="K3" s="1"/>
      </tp>
      <tp>
        <v>0</v>
        <stp/>
        <stp>14515</stp>
        <stp>KXFA020</stp>
        <tr r="K2" s="1"/>
      </tp>
      <tp>
        <v>230</v>
        <stp/>
        <stp>14511</stp>
        <stp>KXFA020</stp>
        <tr r="K6" s="1"/>
      </tp>
      <tp>
        <v>10</v>
        <stp/>
        <stp>14512</stp>
        <stp>KXFA020</stp>
        <tr r="K5" s="1"/>
      </tp>
      <tp>
        <v>18</v>
        <stp/>
        <stp>14513</stp>
        <stp>KXFA020</stp>
        <tr r="K4" s="1"/>
      </tp>
      <tp>
        <v>0</v>
        <stp/>
        <stp>14534</stp>
        <stp>KXFA020</stp>
        <tr r="L10" s="1"/>
      </tp>
      <tp>
        <v>0</v>
        <stp/>
        <stp>14535</stp>
        <stp>KXFA020</stp>
        <tr r="L11" s="1"/>
      </tp>
      <tp>
        <v>104.84</v>
        <stp/>
        <stp>14531</stp>
        <stp>KXFA020</stp>
        <tr r="L7" s="1"/>
      </tp>
      <tp>
        <v>104.8</v>
        <stp/>
        <stp>14532</stp>
        <stp>KXFA020</stp>
        <tr r="L8" s="1"/>
      </tp>
      <tp>
        <v>104.78</v>
        <stp/>
        <stp>14533</stp>
        <stp>KXFA020</stp>
        <tr r="L9" s="1"/>
      </tp>
      <tp>
        <v>0</v>
        <stp/>
        <stp>14544</stp>
        <stp>KXFA020</stp>
        <tr r="M10" s="1"/>
      </tp>
      <tp>
        <v>0</v>
        <stp/>
        <stp>14545</stp>
        <stp>KXFA020</stp>
        <tr r="M11" s="1"/>
      </tp>
      <tp>
        <v>4</v>
        <stp/>
        <stp>14541</stp>
        <stp>KXFA020</stp>
        <tr r="M7" s="1"/>
      </tp>
      <tp>
        <v>50</v>
        <stp/>
        <stp>14542</stp>
        <stp>KXFA020</stp>
        <tr r="M8" s="1"/>
      </tp>
      <tp>
        <v>50</v>
        <stp/>
        <stp>14543</stp>
        <stp>KXFA020</stp>
        <tr r="M9" s="1"/>
      </tp>
      <tp>
        <v>0</v>
        <stp/>
        <stp>14579</stp>
        <stp>KXFA020</stp>
        <tr r="J6" s="1"/>
      </tp>
      <tp>
        <v>0</v>
        <stp/>
        <stp>14589</stp>
        <stp>KXFA020</stp>
        <tr r="N9" s="1"/>
      </tp>
      <tp>
        <v>0</v>
        <stp/>
        <stp>14585</stp>
        <stp>KXFA020</stp>
        <tr r="N8" s="1"/>
      </tp>
      <tp>
        <v>0</v>
        <stp/>
        <stp>14587</stp>
        <stp>KXFA020</stp>
        <tr r="J4" s="1"/>
      </tp>
      <tp>
        <v>0</v>
        <stp/>
        <stp>14581</stp>
        <stp>KXFA020</stp>
        <tr r="N7" s="1"/>
      </tp>
      <tp>
        <v>0</v>
        <stp/>
        <stp>14583</stp>
        <stp>KXFA020</stp>
        <tr r="J5" s="1"/>
      </tp>
      <tp>
        <v>0</v>
        <stp/>
        <stp>14595</stp>
        <stp>KXFA020</stp>
        <tr r="J2" s="1"/>
      </tp>
      <tp>
        <v>0</v>
        <stp/>
        <stp>14597</stp>
        <stp>KXFA020</stp>
        <tr r="N11" s="1"/>
      </tp>
      <tp>
        <v>0</v>
        <stp/>
        <stp>14591</stp>
        <stp>KXFA020</stp>
        <tr r="J3" s="1"/>
      </tp>
      <tp>
        <v>0</v>
        <stp/>
        <stp>14593</stp>
        <stp>KXFA020</stp>
        <tr r="N10" s="1"/>
      </tp>
      <tp>
        <v>0</v>
        <stp/>
        <stp>14589</stp>
        <stp>KBFA020</stp>
        <tr r="F9" s="1"/>
      </tp>
      <tp>
        <v>0</v>
        <stp/>
        <stp>14585</stp>
        <stp>KBFA020</stp>
        <tr r="F8" s="1"/>
      </tp>
      <tp>
        <v>0</v>
        <stp/>
        <stp>14587</stp>
        <stp>KBFA020</stp>
        <tr r="B4" s="1"/>
      </tp>
      <tp>
        <v>0</v>
        <stp/>
        <stp>14581</stp>
        <stp>KBFA020</stp>
        <tr r="F7" s="1"/>
      </tp>
      <tp>
        <v>0</v>
        <stp/>
        <stp>14583</stp>
        <stp>KBFA020</stp>
        <tr r="B5" s="1"/>
      </tp>
      <tp>
        <v>0</v>
        <stp/>
        <stp>14595</stp>
        <stp>KBFA020</stp>
        <tr r="B2" s="1"/>
      </tp>
      <tp>
        <v>0</v>
        <stp/>
        <stp>14597</stp>
        <stp>KBFA020</stp>
        <tr r="F11" s="1"/>
      </tp>
      <tp>
        <v>0</v>
        <stp/>
        <stp>14591</stp>
        <stp>KBFA020</stp>
        <tr r="B3" s="1"/>
      </tp>
      <tp>
        <v>0</v>
        <stp/>
        <stp>14593</stp>
        <stp>KBFA020</stp>
        <tr r="F10" s="1"/>
      </tp>
      <tp>
        <v>0</v>
        <stp/>
        <stp>14534</stp>
        <stp>KBFA020</stp>
        <tr r="D10" s="1"/>
      </tp>
      <tp>
        <v>0</v>
        <stp/>
        <stp>14535</stp>
        <stp>KBFA020</stp>
        <tr r="D11" s="1"/>
      </tp>
      <tp>
        <v>102.63</v>
        <stp/>
        <stp>14531</stp>
        <stp>KBFA020</stp>
        <tr r="D7" s="1"/>
      </tp>
      <tp>
        <v>102.62</v>
        <stp/>
        <stp>14532</stp>
        <stp>KBFA020</stp>
        <tr r="D8" s="1"/>
      </tp>
      <tp>
        <v>102.61</v>
        <stp/>
        <stp>14533</stp>
        <stp>KBFA020</stp>
        <tr r="D9" s="1"/>
      </tp>
      <tp>
        <v>0</v>
        <stp/>
        <stp>14504</stp>
        <stp>KBFA020</stp>
        <tr r="D3" s="1"/>
      </tp>
      <tp>
        <v>0</v>
        <stp/>
        <stp>14505</stp>
        <stp>KBFA020</stp>
        <tr r="D2" s="1"/>
      </tp>
      <tp>
        <v>102.64</v>
        <stp/>
        <stp>14501</stp>
        <stp>KBFA020</stp>
        <tr r="D6" s="1"/>
      </tp>
      <tp>
        <v>102.65</v>
        <stp/>
        <stp>14502</stp>
        <stp>KBFA020</stp>
        <tr r="D5" s="1"/>
      </tp>
      <tp>
        <v>102.66</v>
        <stp/>
        <stp>14503</stp>
        <stp>KBFA020</stp>
        <tr r="D4" s="1"/>
      </tp>
      <tp>
        <v>0</v>
        <stp/>
        <stp>14514</stp>
        <stp>KBFA020</stp>
        <tr r="C3" s="1"/>
      </tp>
      <tp>
        <v>0</v>
        <stp/>
        <stp>14515</stp>
        <stp>KBFA020</stp>
        <tr r="C2" s="1"/>
      </tp>
      <tp>
        <v>200</v>
        <stp/>
        <stp>14511</stp>
        <stp>KBFA020</stp>
        <tr r="C6" s="1"/>
      </tp>
      <tp>
        <v>815</v>
        <stp/>
        <stp>14512</stp>
        <stp>KBFA020</stp>
        <tr r="C5" s="1"/>
      </tp>
      <tp>
        <v>180</v>
        <stp/>
        <stp>14513</stp>
        <stp>KBFA020</stp>
        <tr r="C4" s="1"/>
      </tp>
      <tp>
        <v>0</v>
        <stp/>
        <stp>14579</stp>
        <stp>KBFA020</stp>
        <tr r="B6" s="1"/>
      </tp>
      <tp>
        <v>0</v>
        <stp/>
        <stp>14544</stp>
        <stp>KBFA020</stp>
        <tr r="E10" s="1"/>
      </tp>
      <tp>
        <v>0</v>
        <stp/>
        <stp>14545</stp>
        <stp>KBFA020</stp>
        <tr r="E11" s="1"/>
      </tp>
      <tp>
        <v>50</v>
        <stp/>
        <stp>14541</stp>
        <stp>KBFA020</stp>
        <tr r="E7" s="1"/>
      </tp>
      <tp>
        <v>51</v>
        <stp/>
        <stp>14542</stp>
        <stp>KBFA020</stp>
        <tr r="E8" s="1"/>
      </tp>
      <tp>
        <v>461</v>
        <stp/>
        <stp>14543</stp>
        <stp>KBFA020</stp>
        <tr r="E9" s="1"/>
      </tp>
      <tp>
        <v>0</v>
        <stp/>
        <stp>14625</stp>
        <stp>KXFA020</stp>
        <tr r="J12" s="1"/>
      </tp>
      <tp>
        <v>0</v>
        <stp/>
        <stp>14627</stp>
        <stp>KXFA020</stp>
        <tr r="N12" s="1"/>
      </tp>
      <tp>
        <v>258</v>
        <stp/>
        <stp>14621</stp>
        <stp>KXFA020</stp>
        <tr r="K12" s="1"/>
      </tp>
      <tp>
        <v>104</v>
        <stp/>
        <stp>14623</stp>
        <stp>KXFA020</stp>
        <tr r="M12" s="1"/>
      </tp>
      <tp>
        <v>0</v>
        <stp/>
        <stp>14625</stp>
        <stp>KBFA020</stp>
        <tr r="B12" s="1"/>
      </tp>
      <tp>
        <v>0</v>
        <stp/>
        <stp>14627</stp>
        <stp>KBFA020</stp>
        <tr r="F12" s="1"/>
      </tp>
      <tp>
        <v>1195</v>
        <stp/>
        <stp>14621</stp>
        <stp>KBFA020</stp>
        <tr r="C12" s="1"/>
      </tp>
      <tp>
        <v>562</v>
        <stp/>
        <stp>14623</stp>
        <stp>KBFA020</stp>
        <tr r="E1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I29" sqref="I29"/>
    </sheetView>
  </sheetViews>
  <sheetFormatPr defaultRowHeight="16.5" x14ac:dyDescent="0.3"/>
  <sheetData>
    <row r="1" spans="1:15" x14ac:dyDescent="0.3">
      <c r="A1" s="8" t="s">
        <v>6</v>
      </c>
      <c r="B1" s="8"/>
      <c r="C1" s="8"/>
      <c r="D1" s="8"/>
      <c r="E1" s="8"/>
      <c r="F1" s="8"/>
      <c r="G1" s="8"/>
      <c r="I1" s="8" t="s">
        <v>7</v>
      </c>
      <c r="J1" s="8"/>
      <c r="K1" s="8"/>
      <c r="L1" s="8"/>
      <c r="M1" s="8"/>
      <c r="N1" s="8"/>
      <c r="O1" s="8"/>
    </row>
    <row r="2" spans="1:15" x14ac:dyDescent="0.3">
      <c r="A2" s="6" t="s">
        <v>1</v>
      </c>
      <c r="B2" s="1">
        <f>RTD("checkexpert.rtd",,"14595","KBFA020")</f>
        <v>0</v>
      </c>
      <c r="C2" s="1">
        <f>RTD("checkexpert.rtd",,"14515","KBFA020")</f>
        <v>0</v>
      </c>
      <c r="D2" s="2">
        <f>RTD("checkexpert.rtd",,"14505","KBFA020")</f>
        <v>0</v>
      </c>
      <c r="F2" s="9" t="s">
        <v>9</v>
      </c>
      <c r="G2" s="9">
        <f>RTD("checkexpert.rtd",,"15001","KBFA020")</f>
        <v>102.63</v>
      </c>
      <c r="I2" s="6" t="s">
        <v>1</v>
      </c>
      <c r="J2" s="1">
        <f>RTD("checkexpert.rtd",,"14595","KXFA020")</f>
        <v>0</v>
      </c>
      <c r="K2" s="1">
        <f>RTD("checkexpert.rtd",,"14515","KXFA020")</f>
        <v>0</v>
      </c>
      <c r="L2" s="2">
        <f>RTD("checkexpert.rtd",,"14505","KXFA020")</f>
        <v>0</v>
      </c>
      <c r="N2" s="9" t="s">
        <v>9</v>
      </c>
      <c r="O2" s="9">
        <f>RTD("checkexpert.rtd",,"15001","KXFA020")</f>
        <v>104.81</v>
      </c>
    </row>
    <row r="3" spans="1:15" x14ac:dyDescent="0.3">
      <c r="A3" s="7"/>
      <c r="B3" s="1">
        <f>RTD("checkexpert.rtd",,"14591","KBFA020")</f>
        <v>0</v>
      </c>
      <c r="C3" s="1">
        <f>RTD("checkexpert.rtd",,"14514","KBFA020")</f>
        <v>0</v>
      </c>
      <c r="D3" s="2">
        <f>RTD("checkexpert.rtd",,"14504","KBFA020")</f>
        <v>0</v>
      </c>
      <c r="I3" s="7"/>
      <c r="J3" s="1">
        <f>RTD("checkexpert.rtd",,"14591","KXFA020")</f>
        <v>0</v>
      </c>
      <c r="K3" s="1">
        <f>RTD("checkexpert.rtd",,"14514","KXFA020")</f>
        <v>0</v>
      </c>
      <c r="L3" s="2">
        <f>RTD("checkexpert.rtd",,"14504","KXFA020")</f>
        <v>0</v>
      </c>
    </row>
    <row r="4" spans="1:15" x14ac:dyDescent="0.3">
      <c r="A4" s="7"/>
      <c r="B4" s="1">
        <f>RTD("checkexpert.rtd",,"14587","KBFA020")</f>
        <v>0</v>
      </c>
      <c r="C4" s="1">
        <f>RTD("checkexpert.rtd",,"14513","KBFA020")</f>
        <v>180</v>
      </c>
      <c r="D4" s="2">
        <f>RTD("checkexpert.rtd",,"14503","KBFA020")</f>
        <v>102.66</v>
      </c>
      <c r="I4" s="7"/>
      <c r="J4" s="1">
        <f>RTD("checkexpert.rtd",,"14587","KXFA020")</f>
        <v>0</v>
      </c>
      <c r="K4" s="1">
        <f>RTD("checkexpert.rtd",,"14513","KXFA020")</f>
        <v>18</v>
      </c>
      <c r="L4" s="2">
        <f>RTD("checkexpert.rtd",,"14503","KXFA020")</f>
        <v>104.87</v>
      </c>
    </row>
    <row r="5" spans="1:15" x14ac:dyDescent="0.3">
      <c r="A5" s="7"/>
      <c r="B5" s="1">
        <f>RTD("checkexpert.rtd",,"14583","KBFA020")</f>
        <v>0</v>
      </c>
      <c r="C5" s="1">
        <f>RTD("checkexpert.rtd",,"14512","KBFA020")</f>
        <v>815</v>
      </c>
      <c r="D5" s="2">
        <f>RTD("checkexpert.rtd",,"14502","KBFA020")</f>
        <v>102.65</v>
      </c>
      <c r="I5" s="7"/>
      <c r="J5" s="1">
        <f>RTD("checkexpert.rtd",,"14583","KXFA020")</f>
        <v>0</v>
      </c>
      <c r="K5" s="1">
        <f>RTD("checkexpert.rtd",,"14512","KXFA020")</f>
        <v>10</v>
      </c>
      <c r="L5" s="5">
        <f>RTD("checkexpert.rtd",,"14502","KXFA020")</f>
        <v>104.86</v>
      </c>
    </row>
    <row r="6" spans="1:15" x14ac:dyDescent="0.3">
      <c r="A6" s="7"/>
      <c r="B6" s="1">
        <f>RTD("checkexpert.rtd",,"14579","KBFA020")</f>
        <v>0</v>
      </c>
      <c r="C6" s="1">
        <f>RTD("checkexpert.rtd",,"14511","KBFA020")</f>
        <v>200</v>
      </c>
      <c r="D6" s="3">
        <f>RTD("checkexpert.rtd",,"14501","KBFA020")</f>
        <v>102.64</v>
      </c>
      <c r="I6" s="7"/>
      <c r="J6" s="1">
        <f>RTD("checkexpert.rtd",,"14579","KXFA020")</f>
        <v>0</v>
      </c>
      <c r="K6" s="1">
        <f>RTD("checkexpert.rtd",,"14511","KXFA020")</f>
        <v>230</v>
      </c>
      <c r="L6" s="2">
        <f>RTD("checkexpert.rtd",,"14501","KXFA020")</f>
        <v>104.85</v>
      </c>
    </row>
    <row r="7" spans="1:15" x14ac:dyDescent="0.3">
      <c r="D7" s="4">
        <f>RTD("checkexpert.rtd",,"14531","KBFA020")</f>
        <v>102.63</v>
      </c>
      <c r="E7" s="1">
        <f>RTD("checkexpert.rtd",,"14541","KBFA020")</f>
        <v>50</v>
      </c>
      <c r="F7" s="1">
        <f>RTD("checkexpert.rtd",,"14581","KBFA020")</f>
        <v>0</v>
      </c>
      <c r="G7" s="6" t="s">
        <v>0</v>
      </c>
      <c r="L7" s="4">
        <f>RTD("checkexpert.rtd",,"14531","KXFA020")</f>
        <v>104.84</v>
      </c>
      <c r="M7" s="1">
        <f>RTD("checkexpert.rtd",,"14541","KXFA020")</f>
        <v>4</v>
      </c>
      <c r="N7" s="1">
        <f>RTD("checkexpert.rtd",,"14581","KXFA020")</f>
        <v>0</v>
      </c>
      <c r="O7" s="6" t="s">
        <v>0</v>
      </c>
    </row>
    <row r="8" spans="1:15" x14ac:dyDescent="0.3">
      <c r="D8" s="4">
        <f>RTD("checkexpert.rtd",,"14532","KBFA020")</f>
        <v>102.62</v>
      </c>
      <c r="E8" s="1">
        <f>RTD("checkexpert.rtd",,"14542","KBFA020")</f>
        <v>51</v>
      </c>
      <c r="F8" s="1">
        <f>RTD("checkexpert.rtd",,"14585","KBFA020")</f>
        <v>0</v>
      </c>
      <c r="G8" s="7"/>
      <c r="L8" s="4">
        <f>RTD("checkexpert.rtd",,"14532","KXFA020")</f>
        <v>104.8</v>
      </c>
      <c r="M8" s="1">
        <f>RTD("checkexpert.rtd",,"14542","KXFA020")</f>
        <v>50</v>
      </c>
      <c r="N8" s="1">
        <f>RTD("checkexpert.rtd",,"14585","KXFA020")</f>
        <v>0</v>
      </c>
      <c r="O8" s="7"/>
    </row>
    <row r="9" spans="1:15" x14ac:dyDescent="0.3">
      <c r="D9" s="4">
        <f>RTD("checkexpert.rtd",,"14533","KBFA020")</f>
        <v>102.61</v>
      </c>
      <c r="E9" s="1">
        <f>RTD("checkexpert.rtd",,"14543","KBFA020")</f>
        <v>461</v>
      </c>
      <c r="F9" s="1">
        <f>RTD("checkexpert.rtd",,"14589","KBFA020")</f>
        <v>0</v>
      </c>
      <c r="G9" s="7"/>
      <c r="L9" s="4">
        <f>RTD("checkexpert.rtd",,"14533","KXFA020")</f>
        <v>104.78</v>
      </c>
      <c r="M9" s="1">
        <f>RTD("checkexpert.rtd",,"14543","KXFA020")</f>
        <v>50</v>
      </c>
      <c r="N9" s="1">
        <f>RTD("checkexpert.rtd",,"14589","KXFA020")</f>
        <v>0</v>
      </c>
      <c r="O9" s="7"/>
    </row>
    <row r="10" spans="1:15" x14ac:dyDescent="0.3">
      <c r="D10" s="4">
        <f>RTD("checkexpert.rtd",,"14534","KBFA020")</f>
        <v>0</v>
      </c>
      <c r="E10" s="1">
        <f>RTD("checkexpert.rtd",,"14544","KBFA020")</f>
        <v>0</v>
      </c>
      <c r="F10" s="1">
        <f>RTD("checkexpert.rtd",,"14593","KBFA020")</f>
        <v>0</v>
      </c>
      <c r="G10" s="7"/>
      <c r="L10" s="4">
        <f>RTD("checkexpert.rtd",,"14534","KXFA020")</f>
        <v>0</v>
      </c>
      <c r="M10" s="1">
        <f>RTD("checkexpert.rtd",,"14544","KXFA020")</f>
        <v>0</v>
      </c>
      <c r="N10" s="1">
        <f>RTD("checkexpert.rtd",,"14593","KXFA020")</f>
        <v>0</v>
      </c>
      <c r="O10" s="7"/>
    </row>
    <row r="11" spans="1:15" x14ac:dyDescent="0.3">
      <c r="D11" s="4">
        <f>RTD("checkexpert.rtd",,"14535","KBFA020")</f>
        <v>0</v>
      </c>
      <c r="E11" s="1">
        <f>RTD("checkexpert.rtd",,"14545","KBFA020")</f>
        <v>0</v>
      </c>
      <c r="F11" s="1">
        <f>RTD("checkexpert.rtd",,"14597","KBFA020")</f>
        <v>0</v>
      </c>
      <c r="G11" s="7"/>
      <c r="L11" s="4">
        <f>RTD("checkexpert.rtd",,"14535","KXFA020")</f>
        <v>0</v>
      </c>
      <c r="M11" s="1">
        <f>RTD("checkexpert.rtd",,"14545","KXFA020")</f>
        <v>0</v>
      </c>
      <c r="N11" s="1">
        <f>RTD("checkexpert.rtd",,"14597","KXFA020")</f>
        <v>0</v>
      </c>
      <c r="O11" s="7"/>
    </row>
    <row r="12" spans="1:15" x14ac:dyDescent="0.3">
      <c r="B12">
        <f>RTD("checkexpert.rtd",,"14625","KBFA020")</f>
        <v>0</v>
      </c>
      <c r="C12">
        <f>RTD("checkexpert.rtd",,"14621","KBFA020")</f>
        <v>1195</v>
      </c>
      <c r="D12">
        <v>0</v>
      </c>
      <c r="E12">
        <f>RTD("checkexpert.rtd",,"14623","KBFA020")</f>
        <v>562</v>
      </c>
      <c r="F12">
        <f>RTD("checkexpert.rtd",,"14627","KBFA020")</f>
        <v>0</v>
      </c>
      <c r="J12">
        <f>RTD("checkexpert.rtd",,"14625","KXFA020")</f>
        <v>0</v>
      </c>
      <c r="K12">
        <f>RTD("checkexpert.rtd",,"14621","KXFA020")</f>
        <v>258</v>
      </c>
      <c r="M12">
        <f>RTD("checkexpert.rtd",,"14623","KXFA020")</f>
        <v>104</v>
      </c>
      <c r="N12">
        <f>RTD("checkexpert.rtd",,"14627","KXFA020")</f>
        <v>0</v>
      </c>
    </row>
    <row r="13" spans="1:15" x14ac:dyDescent="0.3">
      <c r="B13" t="s">
        <v>5</v>
      </c>
      <c r="C13" t="s">
        <v>4</v>
      </c>
      <c r="E13" t="s">
        <v>2</v>
      </c>
      <c r="F13" t="s">
        <v>3</v>
      </c>
      <c r="J13" t="s">
        <v>5</v>
      </c>
      <c r="K13" t="s">
        <v>4</v>
      </c>
      <c r="M13" t="s">
        <v>2</v>
      </c>
      <c r="N13" t="s">
        <v>3</v>
      </c>
    </row>
    <row r="25" spans="18:18" x14ac:dyDescent="0.3">
      <c r="R25" t="s">
        <v>8</v>
      </c>
    </row>
  </sheetData>
  <mergeCells count="6">
    <mergeCell ref="G7:G11"/>
    <mergeCell ref="A2:A6"/>
    <mergeCell ref="A1:G1"/>
    <mergeCell ref="I1:O1"/>
    <mergeCell ref="I2:I6"/>
    <mergeCell ref="O7:O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2026-10-02T04:26:54Z</dcterms:created>
  <dcterms:modified xsi:type="dcterms:W3CDTF">2026-10-02T06:39:52Z</dcterms:modified>
</cp:coreProperties>
</file>